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yl2319_sph_rutgers_edu/Documents/2025 Spring/1 Biostatistical Computing/6 project 1/"/>
    </mc:Choice>
  </mc:AlternateContent>
  <xr:revisionPtr revIDLastSave="11" documentId="13_ncr:1_{C542D9D5-82B0-454B-93A3-E6CC644DDEA6}" xr6:coauthVersionLast="47" xr6:coauthVersionMax="47" xr10:uidLastSave="{0A781698-F903-E246-BC2C-FB0B49F7D007}"/>
  <bookViews>
    <workbookView xWindow="0" yWindow="560" windowWidth="27780" windowHeight="17440" xr2:uid="{9E6BF6A1-23CB-764F-B60B-2EB820E36C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H15" i="1"/>
  <c r="H16" i="1"/>
  <c r="H17" i="1"/>
  <c r="H18" i="1"/>
  <c r="H19" i="1"/>
  <c r="I20" i="1"/>
  <c r="G20" i="1"/>
  <c r="D20" i="1"/>
  <c r="E20" i="1"/>
  <c r="F20" i="1"/>
  <c r="H12" i="1"/>
  <c r="H13" i="1"/>
  <c r="H11" i="1"/>
  <c r="E14" i="1"/>
  <c r="F14" i="1"/>
  <c r="G14" i="1"/>
  <c r="I14" i="1"/>
  <c r="D14" i="1"/>
  <c r="H14" i="1" s="1"/>
  <c r="F10" i="1"/>
  <c r="G10" i="1"/>
  <c r="I10" i="1"/>
  <c r="D10" i="1"/>
  <c r="H5" i="1"/>
  <c r="H6" i="1"/>
  <c r="H7" i="1"/>
  <c r="H8" i="1"/>
  <c r="H9" i="1"/>
  <c r="H4" i="1"/>
  <c r="H20" i="1" l="1"/>
  <c r="H10" i="1"/>
</calcChain>
</file>

<file path=xl/sharedStrings.xml><?xml version="1.0" encoding="utf-8"?>
<sst xmlns="http://schemas.openxmlformats.org/spreadsheetml/2006/main" count="53" uniqueCount="36">
  <si>
    <t>Age</t>
  </si>
  <si>
    <t>Mean (SD)</t>
  </si>
  <si>
    <t>Race</t>
  </si>
  <si>
    <t>Mexican American</t>
  </si>
  <si>
    <t>Other Hispanic</t>
  </si>
  <si>
    <t>Non-Hispanic White</t>
  </si>
  <si>
    <t>Non-Hispanic Black</t>
  </si>
  <si>
    <t>Non-Hispanic Asian</t>
  </si>
  <si>
    <t>Other Race -  Including Multi-Racial</t>
  </si>
  <si>
    <t>Marital Status</t>
  </si>
  <si>
    <t>Married/Living with Partner</t>
  </si>
  <si>
    <t>Widowed/Divorced/Separated</t>
  </si>
  <si>
    <t>Never married</t>
  </si>
  <si>
    <t>Less than 9th grade</t>
  </si>
  <si>
    <t>9-11th grade (Includes 12th grade with no diploma)</t>
  </si>
  <si>
    <t>High school graduate/GED or equivalent</t>
  </si>
  <si>
    <t>Some college or AA degree</t>
  </si>
  <si>
    <t>College graduate or above</t>
  </si>
  <si>
    <t>Education Level</t>
  </si>
  <si>
    <t>Systolic BP*</t>
  </si>
  <si>
    <t>Diastolic BP*</t>
  </si>
  <si>
    <t>Age when first told Diabetes</t>
  </si>
  <si>
    <t>Taking Insulin?</t>
  </si>
  <si>
    <t>Triglyceride (mg/dL)</t>
  </si>
  <si>
    <t>mean / frequency</t>
  </si>
  <si>
    <t>SD / %</t>
  </si>
  <si>
    <t>continuous</t>
  </si>
  <si>
    <t>categorical</t>
  </si>
  <si>
    <t>Variable</t>
  </si>
  <si>
    <t>Type</t>
  </si>
  <si>
    <t>Yes</t>
  </si>
  <si>
    <t>Female
N = 2208</t>
  </si>
  <si>
    <t>Male
N = 2037</t>
  </si>
  <si>
    <t>Overall
N = 4245</t>
  </si>
  <si>
    <t>check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</si>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</sst>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3" fontId="3" fillId="2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5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43" fontId="4" fillId="0" borderId="1" xfId="1" applyFont="1" applyBorder="1" applyAlignment="1">
      <alignment horizontal="left" vertical="center"/>
    </xf>
    <xf numFmtId="43" fontId="5" fillId="0" borderId="1" xfId="1" applyFont="1" applyBorder="1" applyAlignment="1">
      <alignment horizontal="left" vertical="center"/>
    </xf>
    <xf numFmtId="43" fontId="7" fillId="2" borderId="0" xfId="1" applyFont="1" applyFill="1" applyBorder="1" applyAlignment="1">
      <alignment horizontal="center" vertical="center"/>
    </xf>
    <xf numFmtId="43" fontId="6" fillId="2" borderId="0" xfId="1" applyFont="1" applyFill="1" applyBorder="1" applyAlignment="1">
      <alignment horizontal="center" vertical="center"/>
    </xf>
    <xf numFmtId="43" fontId="6" fillId="2" borderId="0" xfId="1" applyFont="1" applyFill="1" applyBorder="1" applyAlignment="1">
      <alignment horizontal="left" vertical="center"/>
    </xf>
    <xf numFmtId="164" fontId="6" fillId="2" borderId="0" xfId="1" applyNumberFormat="1" applyFont="1" applyFill="1" applyBorder="1" applyAlignment="1">
      <alignment horizontal="center" vertical="center"/>
    </xf>
    <xf numFmtId="164" fontId="6" fillId="2" borderId="0" xfId="2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/>
    </xf>
    <xf numFmtId="43" fontId="8" fillId="0" borderId="1" xfId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C692-35C8-E14F-B5F9-557091C7331B}">
  <dimension ref="A1:P25"/>
  <sheetViews>
    <sheetView showGridLines="0" tabSelected="1" zoomScale="90" workbookViewId="0">
      <selection activeCell="J27" sqref="J27"/>
    </sheetView>
  </sheetViews>
  <sheetFormatPr baseColWidth="10" defaultRowHeight="18" customHeight="1" x14ac:dyDescent="0.2"/>
  <cols>
    <col min="1" max="1" width="28.1640625" style="8" customWidth="1"/>
    <col min="2" max="2" width="12.83203125" style="8" customWidth="1"/>
    <col min="3" max="3" width="39.83203125" style="6" customWidth="1"/>
    <col min="4" max="9" width="10" style="6" customWidth="1"/>
    <col min="10" max="16384" width="10.83203125" style="5"/>
  </cols>
  <sheetData>
    <row r="1" spans="1:12" ht="35" customHeight="1" x14ac:dyDescent="0.2">
      <c r="A1" s="20" t="s">
        <v>28</v>
      </c>
      <c r="B1" s="20" t="s">
        <v>29</v>
      </c>
      <c r="C1" s="20" t="s">
        <v>35</v>
      </c>
      <c r="D1" s="17" t="s">
        <v>32</v>
      </c>
      <c r="E1" s="17"/>
      <c r="F1" s="17" t="s">
        <v>31</v>
      </c>
      <c r="G1" s="17"/>
      <c r="H1" s="17" t="s">
        <v>33</v>
      </c>
      <c r="I1" s="17"/>
    </row>
    <row r="2" spans="1:12" ht="39" customHeight="1" x14ac:dyDescent="0.2">
      <c r="A2" s="20"/>
      <c r="B2" s="20"/>
      <c r="C2" s="20"/>
      <c r="D2" s="1" t="s">
        <v>24</v>
      </c>
      <c r="E2" s="1" t="s">
        <v>25</v>
      </c>
      <c r="F2" s="1" t="s">
        <v>24</v>
      </c>
      <c r="G2" s="1" t="s">
        <v>25</v>
      </c>
      <c r="H2" s="1" t="s">
        <v>24</v>
      </c>
      <c r="I2" s="1" t="s">
        <v>25</v>
      </c>
    </row>
    <row r="3" spans="1:12" ht="21" customHeight="1" x14ac:dyDescent="0.2">
      <c r="A3" s="2" t="s">
        <v>0</v>
      </c>
      <c r="B3" s="3" t="s">
        <v>26</v>
      </c>
      <c r="C3" s="9" t="s">
        <v>1</v>
      </c>
      <c r="D3" s="4">
        <v>51.466862999999996</v>
      </c>
      <c r="E3" s="4">
        <v>17.6089789</v>
      </c>
      <c r="F3" s="4">
        <v>50.46875</v>
      </c>
      <c r="G3" s="4">
        <v>17.277733999999999</v>
      </c>
      <c r="H3" s="4">
        <v>50.947703199999999</v>
      </c>
      <c r="I3" s="4">
        <v>17.442543300000001</v>
      </c>
    </row>
    <row r="4" spans="1:12" ht="21" customHeight="1" x14ac:dyDescent="0.2">
      <c r="A4" s="18" t="s">
        <v>2</v>
      </c>
      <c r="B4" s="19" t="s">
        <v>27</v>
      </c>
      <c r="C4" s="10" t="s">
        <v>3</v>
      </c>
      <c r="D4" s="4">
        <v>258</v>
      </c>
      <c r="E4" s="4">
        <v>12.67</v>
      </c>
      <c r="F4" s="4">
        <v>263</v>
      </c>
      <c r="G4" s="4">
        <v>11.91</v>
      </c>
      <c r="H4" s="3">
        <f>D4+F4</f>
        <v>521</v>
      </c>
      <c r="I4" s="4">
        <v>12.27</v>
      </c>
    </row>
    <row r="5" spans="1:12" ht="21" customHeight="1" x14ac:dyDescent="0.2">
      <c r="A5" s="18"/>
      <c r="B5" s="19"/>
      <c r="C5" s="10" t="s">
        <v>4</v>
      </c>
      <c r="D5" s="4">
        <v>193</v>
      </c>
      <c r="E5" s="4">
        <v>9.4700000000000006</v>
      </c>
      <c r="F5" s="4">
        <v>247</v>
      </c>
      <c r="G5" s="4">
        <v>11.19</v>
      </c>
      <c r="H5" s="3">
        <f t="shared" ref="H5:H9" si="0">D5+F5</f>
        <v>440</v>
      </c>
      <c r="I5" s="4">
        <v>10.37</v>
      </c>
    </row>
    <row r="6" spans="1:12" ht="21" customHeight="1" x14ac:dyDescent="0.2">
      <c r="A6" s="18"/>
      <c r="B6" s="19"/>
      <c r="C6" s="10" t="s">
        <v>5</v>
      </c>
      <c r="D6" s="4">
        <v>706</v>
      </c>
      <c r="E6" s="4">
        <v>34.659999999999997</v>
      </c>
      <c r="F6" s="4">
        <v>690</v>
      </c>
      <c r="G6" s="4">
        <v>31.25</v>
      </c>
      <c r="H6" s="3">
        <f t="shared" si="0"/>
        <v>1396</v>
      </c>
      <c r="I6" s="4">
        <v>32.89</v>
      </c>
    </row>
    <row r="7" spans="1:12" ht="21" customHeight="1" x14ac:dyDescent="0.2">
      <c r="A7" s="18"/>
      <c r="B7" s="19"/>
      <c r="C7" s="10" t="s">
        <v>6</v>
      </c>
      <c r="D7" s="4">
        <v>532</v>
      </c>
      <c r="E7" s="4">
        <v>26.12</v>
      </c>
      <c r="F7" s="4">
        <v>604</v>
      </c>
      <c r="G7" s="4">
        <v>27.36</v>
      </c>
      <c r="H7" s="3">
        <f t="shared" si="0"/>
        <v>1136</v>
      </c>
      <c r="I7" s="4">
        <v>26.76</v>
      </c>
    </row>
    <row r="8" spans="1:12" ht="21" customHeight="1" x14ac:dyDescent="0.2">
      <c r="A8" s="18"/>
      <c r="B8" s="19"/>
      <c r="C8" s="10" t="s">
        <v>7</v>
      </c>
      <c r="D8" s="4">
        <v>232</v>
      </c>
      <c r="E8" s="4">
        <v>11.39</v>
      </c>
      <c r="F8" s="4">
        <v>293</v>
      </c>
      <c r="G8" s="4">
        <v>13.27</v>
      </c>
      <c r="H8" s="3">
        <f t="shared" si="0"/>
        <v>525</v>
      </c>
      <c r="I8" s="4">
        <v>12.37</v>
      </c>
    </row>
    <row r="9" spans="1:12" ht="21" customHeight="1" x14ac:dyDescent="0.2">
      <c r="A9" s="18"/>
      <c r="B9" s="19"/>
      <c r="C9" s="10" t="s">
        <v>8</v>
      </c>
      <c r="D9" s="4">
        <v>116</v>
      </c>
      <c r="E9" s="4">
        <v>5.69</v>
      </c>
      <c r="F9" s="4">
        <v>111</v>
      </c>
      <c r="G9" s="4">
        <v>5.03</v>
      </c>
      <c r="H9" s="3">
        <f t="shared" si="0"/>
        <v>227</v>
      </c>
      <c r="I9" s="4">
        <v>5.35</v>
      </c>
    </row>
    <row r="10" spans="1:12" s="16" customFormat="1" ht="21" customHeight="1" x14ac:dyDescent="0.2">
      <c r="A10" s="11"/>
      <c r="B10" s="12"/>
      <c r="C10" s="13" t="s">
        <v>34</v>
      </c>
      <c r="D10" s="14">
        <f>SUM(D4:D9)</f>
        <v>2037</v>
      </c>
      <c r="E10" s="15">
        <f>SUM(E4:E9)</f>
        <v>100</v>
      </c>
      <c r="F10" s="14">
        <f t="shared" ref="F10:I10" si="1">SUM(F4:F9)</f>
        <v>2208</v>
      </c>
      <c r="G10" s="14">
        <f t="shared" si="1"/>
        <v>100.01</v>
      </c>
      <c r="H10" s="14">
        <f t="shared" si="1"/>
        <v>4245</v>
      </c>
      <c r="I10" s="14">
        <f t="shared" si="1"/>
        <v>100.01</v>
      </c>
    </row>
    <row r="11" spans="1:12" ht="21" customHeight="1" x14ac:dyDescent="0.2">
      <c r="A11" s="18" t="s">
        <v>9</v>
      </c>
      <c r="B11" s="19" t="s">
        <v>27</v>
      </c>
      <c r="C11" s="10" t="s">
        <v>10</v>
      </c>
      <c r="D11" s="4">
        <v>1286</v>
      </c>
      <c r="E11" s="4">
        <v>63.13</v>
      </c>
      <c r="F11" s="4">
        <v>1173</v>
      </c>
      <c r="G11" s="4">
        <v>53.13</v>
      </c>
      <c r="H11" s="3">
        <f>D11+F11</f>
        <v>2459</v>
      </c>
      <c r="I11" s="4">
        <v>57.93</v>
      </c>
    </row>
    <row r="12" spans="1:12" ht="21" customHeight="1" x14ac:dyDescent="0.2">
      <c r="A12" s="18"/>
      <c r="B12" s="19"/>
      <c r="C12" s="10" t="s">
        <v>11</v>
      </c>
      <c r="D12" s="4">
        <v>358</v>
      </c>
      <c r="E12" s="4">
        <v>17.57</v>
      </c>
      <c r="F12" s="3">
        <v>605</v>
      </c>
      <c r="G12" s="4">
        <v>27.4</v>
      </c>
      <c r="H12" s="3">
        <f t="shared" ref="H12:H19" si="2">D12+F12</f>
        <v>963</v>
      </c>
      <c r="I12" s="4">
        <v>22.69</v>
      </c>
    </row>
    <row r="13" spans="1:12" ht="21" customHeight="1" x14ac:dyDescent="0.2">
      <c r="A13" s="18"/>
      <c r="B13" s="19"/>
      <c r="C13" s="10" t="s">
        <v>12</v>
      </c>
      <c r="D13" s="4">
        <v>393</v>
      </c>
      <c r="E13" s="4">
        <v>19.29</v>
      </c>
      <c r="F13" s="3">
        <v>430</v>
      </c>
      <c r="G13" s="4">
        <v>19.47</v>
      </c>
      <c r="H13" s="3">
        <f t="shared" si="2"/>
        <v>823</v>
      </c>
      <c r="I13" s="4">
        <v>19.39</v>
      </c>
    </row>
    <row r="14" spans="1:12" s="16" customFormat="1" ht="21" customHeight="1" x14ac:dyDescent="0.2">
      <c r="A14" s="11"/>
      <c r="B14" s="12"/>
      <c r="C14" s="13" t="s">
        <v>34</v>
      </c>
      <c r="D14" s="14">
        <f>SUM(D11:D13)</f>
        <v>2037</v>
      </c>
      <c r="E14" s="15">
        <f t="shared" ref="E14:I14" si="3">SUM(E11:E13)</f>
        <v>99.990000000000009</v>
      </c>
      <c r="F14" s="14">
        <f t="shared" si="3"/>
        <v>2208</v>
      </c>
      <c r="G14" s="14">
        <f>SUM(G11:G13)</f>
        <v>100</v>
      </c>
      <c r="H14" s="14">
        <f t="shared" si="2"/>
        <v>4245</v>
      </c>
      <c r="I14" s="14">
        <f t="shared" si="3"/>
        <v>100.01</v>
      </c>
    </row>
    <row r="15" spans="1:12" ht="21" customHeight="1" x14ac:dyDescent="0.2">
      <c r="A15" s="18" t="s">
        <v>18</v>
      </c>
      <c r="B15" s="19" t="s">
        <v>27</v>
      </c>
      <c r="C15" s="10" t="s">
        <v>13</v>
      </c>
      <c r="D15" s="3">
        <v>167</v>
      </c>
      <c r="E15" s="4">
        <v>8.1999999999999993</v>
      </c>
      <c r="F15" s="3">
        <v>177</v>
      </c>
      <c r="G15" s="4">
        <v>8.02</v>
      </c>
      <c r="H15" s="3">
        <f t="shared" si="2"/>
        <v>344</v>
      </c>
      <c r="I15" s="4">
        <v>8.1</v>
      </c>
      <c r="J15" s="7"/>
      <c r="K15" s="7"/>
      <c r="L15" s="7"/>
    </row>
    <row r="16" spans="1:12" ht="21" customHeight="1" x14ac:dyDescent="0.2">
      <c r="A16" s="18"/>
      <c r="B16" s="19"/>
      <c r="C16" s="10" t="s">
        <v>14</v>
      </c>
      <c r="D16" s="3">
        <v>263</v>
      </c>
      <c r="E16" s="4">
        <v>12.91</v>
      </c>
      <c r="F16" s="3">
        <v>232</v>
      </c>
      <c r="G16" s="4">
        <v>10.51</v>
      </c>
      <c r="H16" s="3">
        <f t="shared" si="2"/>
        <v>495</v>
      </c>
      <c r="I16" s="4">
        <v>11.66</v>
      </c>
    </row>
    <row r="17" spans="1:16" ht="21" customHeight="1" x14ac:dyDescent="0.2">
      <c r="A17" s="18"/>
      <c r="B17" s="19"/>
      <c r="C17" s="10" t="s">
        <v>15</v>
      </c>
      <c r="D17" s="3">
        <v>502</v>
      </c>
      <c r="E17" s="4">
        <v>24.64</v>
      </c>
      <c r="F17" s="3">
        <v>514</v>
      </c>
      <c r="G17" s="4">
        <v>23.28</v>
      </c>
      <c r="H17" s="3">
        <f t="shared" si="2"/>
        <v>1016</v>
      </c>
      <c r="I17" s="4">
        <v>23.93</v>
      </c>
    </row>
    <row r="18" spans="1:16" ht="21" customHeight="1" x14ac:dyDescent="0.2">
      <c r="A18" s="18"/>
      <c r="B18" s="19"/>
      <c r="C18" s="10" t="s">
        <v>16</v>
      </c>
      <c r="D18" s="3">
        <v>616</v>
      </c>
      <c r="E18" s="4">
        <v>30.24</v>
      </c>
      <c r="F18" s="3">
        <v>754</v>
      </c>
      <c r="G18" s="4">
        <v>34.15</v>
      </c>
      <c r="H18" s="3">
        <f t="shared" si="2"/>
        <v>1370</v>
      </c>
      <c r="I18" s="4">
        <v>32.270000000000003</v>
      </c>
    </row>
    <row r="19" spans="1:16" ht="21" customHeight="1" x14ac:dyDescent="0.2">
      <c r="A19" s="18"/>
      <c r="B19" s="19"/>
      <c r="C19" s="10" t="s">
        <v>17</v>
      </c>
      <c r="D19" s="3">
        <v>489</v>
      </c>
      <c r="E19" s="4">
        <v>24.01</v>
      </c>
      <c r="F19" s="3">
        <v>531</v>
      </c>
      <c r="G19" s="4">
        <v>24.05</v>
      </c>
      <c r="H19" s="3">
        <f t="shared" si="2"/>
        <v>1020</v>
      </c>
      <c r="I19" s="4">
        <v>24.03</v>
      </c>
    </row>
    <row r="20" spans="1:16" s="16" customFormat="1" ht="21" customHeight="1" x14ac:dyDescent="0.2">
      <c r="A20" s="11"/>
      <c r="B20" s="12"/>
      <c r="C20" s="13" t="s">
        <v>34</v>
      </c>
      <c r="D20" s="14">
        <f t="shared" ref="D20:E20" si="4">SUM(D15:D19)</f>
        <v>2037</v>
      </c>
      <c r="E20" s="15">
        <f t="shared" si="4"/>
        <v>100</v>
      </c>
      <c r="F20" s="14">
        <f>SUM(F15:F19)</f>
        <v>2208</v>
      </c>
      <c r="G20" s="14">
        <f>SUM(G15:G19)</f>
        <v>100.01</v>
      </c>
      <c r="H20" s="14">
        <f>SUM(H15:H19)</f>
        <v>4245</v>
      </c>
      <c r="I20" s="14">
        <f>SUM(I15:I19)</f>
        <v>99.990000000000009</v>
      </c>
    </row>
    <row r="21" spans="1:16" ht="21" customHeight="1" x14ac:dyDescent="0.2">
      <c r="A21" s="2" t="s">
        <v>19</v>
      </c>
      <c r="B21" s="3" t="s">
        <v>26</v>
      </c>
      <c r="C21" s="10" t="s">
        <v>1</v>
      </c>
      <c r="D21" s="4">
        <v>126.6456889</v>
      </c>
      <c r="E21" s="4">
        <v>17.266693</v>
      </c>
      <c r="F21" s="4">
        <v>122.1699346</v>
      </c>
      <c r="G21" s="4">
        <v>21.123406200000002</v>
      </c>
      <c r="H21" s="4">
        <v>124.3708366</v>
      </c>
      <c r="I21" s="4">
        <v>19.4499967</v>
      </c>
      <c r="L21" s="7"/>
      <c r="M21" s="7"/>
      <c r="N21" s="7"/>
      <c r="O21" s="7"/>
      <c r="P21" s="7"/>
    </row>
    <row r="22" spans="1:16" ht="21" customHeight="1" x14ac:dyDescent="0.2">
      <c r="A22" s="2" t="s">
        <v>20</v>
      </c>
      <c r="B22" s="3" t="s">
        <v>26</v>
      </c>
      <c r="C22" s="10" t="s">
        <v>1</v>
      </c>
      <c r="D22" s="4">
        <v>75.254311099999995</v>
      </c>
      <c r="E22" s="4">
        <v>11.481181299999999</v>
      </c>
      <c r="F22" s="4">
        <v>73.872204999999994</v>
      </c>
      <c r="G22" s="4">
        <v>11.7277983</v>
      </c>
      <c r="H22" s="4">
        <v>74.551840200000001</v>
      </c>
      <c r="I22" s="4">
        <v>11.626216299999999</v>
      </c>
      <c r="L22" s="7"/>
      <c r="M22" s="7"/>
      <c r="N22" s="7"/>
      <c r="O22" s="7"/>
      <c r="P22" s="7"/>
    </row>
    <row r="23" spans="1:16" ht="21" customHeight="1" x14ac:dyDescent="0.2">
      <c r="A23" s="2" t="s">
        <v>21</v>
      </c>
      <c r="B23" s="3" t="s">
        <v>26</v>
      </c>
      <c r="C23" s="9" t="s">
        <v>1</v>
      </c>
      <c r="D23" s="4">
        <v>61.585635400000001</v>
      </c>
      <c r="E23" s="4">
        <v>100.037387</v>
      </c>
      <c r="F23" s="4">
        <v>61.874617700000002</v>
      </c>
      <c r="G23" s="4">
        <v>117.7303493</v>
      </c>
      <c r="H23" s="4">
        <v>61.722786599999999</v>
      </c>
      <c r="I23" s="4">
        <v>108.7135133</v>
      </c>
      <c r="L23" s="7"/>
      <c r="M23" s="7"/>
      <c r="N23" s="7"/>
      <c r="O23" s="7"/>
      <c r="P23" s="7"/>
    </row>
    <row r="24" spans="1:16" ht="21" customHeight="1" x14ac:dyDescent="0.2">
      <c r="A24" s="2" t="s">
        <v>22</v>
      </c>
      <c r="B24" s="3" t="s">
        <v>27</v>
      </c>
      <c r="C24" s="9" t="s">
        <v>30</v>
      </c>
      <c r="D24" s="21">
        <v>101</v>
      </c>
      <c r="E24" s="21">
        <v>4.96</v>
      </c>
      <c r="F24" s="21">
        <v>102</v>
      </c>
      <c r="G24" s="21">
        <v>4.62</v>
      </c>
      <c r="H24" s="21">
        <v>203</v>
      </c>
      <c r="I24" s="21">
        <v>4.78</v>
      </c>
      <c r="L24" s="7"/>
      <c r="M24" s="7"/>
    </row>
    <row r="25" spans="1:16" ht="21" customHeight="1" x14ac:dyDescent="0.2">
      <c r="A25" s="2" t="s">
        <v>23</v>
      </c>
      <c r="B25" s="3" t="s">
        <v>26</v>
      </c>
      <c r="C25" s="10" t="s">
        <v>1</v>
      </c>
      <c r="D25" s="4">
        <v>119.5783641</v>
      </c>
      <c r="E25" s="4">
        <v>117.9850726</v>
      </c>
      <c r="F25" s="4">
        <v>100.8184055</v>
      </c>
      <c r="G25" s="4">
        <v>64.943493200000006</v>
      </c>
      <c r="H25" s="4">
        <v>109.8711485</v>
      </c>
      <c r="I25" s="3">
        <v>94.7911596</v>
      </c>
    </row>
  </sheetData>
  <mergeCells count="12">
    <mergeCell ref="F1:G1"/>
    <mergeCell ref="H1:I1"/>
    <mergeCell ref="A15:A19"/>
    <mergeCell ref="B15:B19"/>
    <mergeCell ref="A11:A13"/>
    <mergeCell ref="B11:B13"/>
    <mergeCell ref="D1:E1"/>
    <mergeCell ref="A1:A2"/>
    <mergeCell ref="B1:B2"/>
    <mergeCell ref="C1:C2"/>
    <mergeCell ref="A4:A9"/>
    <mergeCell ref="B4:B9"/>
  </mergeCells>
  <pageMargins left="0.7" right="0.7" top="0.75" bottom="0.75" header="0.3" footer="0.3"/>
  <ignoredErrors>
    <ignoredError sqref="H14" formula="1"/>
    <ignoredError sqref="D10:G10 I10" formulaRange="1"/>
    <ignoredError sqref="H10" formula="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Jones</dc:creator>
  <cp:lastModifiedBy>Ari Lin</cp:lastModifiedBy>
  <dcterms:created xsi:type="dcterms:W3CDTF">2025-01-24T21:24:05Z</dcterms:created>
  <dcterms:modified xsi:type="dcterms:W3CDTF">2025-03-06T05:08:36Z</dcterms:modified>
</cp:coreProperties>
</file>